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bruary 2026" sheetId="1" r:id="rId4"/>
  </sheets>
</workbook>
</file>

<file path=xl/sharedStrings.xml><?xml version="1.0" encoding="utf-8"?>
<sst xmlns="http://schemas.openxmlformats.org/spreadsheetml/2006/main" uniqueCount="22">
  <si>
    <t>May 2026. Kirill Likholetov</t>
  </si>
  <si>
    <t>Spend, $</t>
  </si>
  <si>
    <t>Расходники, $</t>
  </si>
  <si>
    <t>Приходы (трекер), $</t>
  </si>
  <si>
    <t>Маржа по админке, $</t>
  </si>
  <si>
    <t>Вычеты</t>
  </si>
  <si>
    <t>Чарджбеки и отмены, $</t>
  </si>
  <si>
    <t>Extendy hold / срез*, $</t>
  </si>
  <si>
    <t>Другие окончательные срезы, $</t>
  </si>
  <si>
    <t>Доплаты</t>
  </si>
  <si>
    <t>Доплаты за гарант, $</t>
  </si>
  <si>
    <t>Spend модель</t>
  </si>
  <si>
    <t>Начисленная комиссия, %</t>
  </si>
  <si>
    <t>Начисленная комиссия, $</t>
  </si>
  <si>
    <t>Профит</t>
  </si>
  <si>
    <t>Профит, $</t>
  </si>
  <si>
    <t>Процент по лесенке, %</t>
  </si>
  <si>
    <t>Оклад, $</t>
  </si>
  <si>
    <t>Процент к выплате, $</t>
  </si>
  <si>
    <t>Итого к выплате за месяц, $</t>
  </si>
  <si>
    <t>Было выплачено ранее, $</t>
  </si>
  <si>
    <t>Итого к переводу, $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</si>
</sst>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3" borderId="2" applyNumberFormat="0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borderId="7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9" fontId="0" borderId="5" applyNumberFormat="1" applyFont="1" applyFill="0" applyBorder="1" applyAlignment="1" applyProtection="0">
      <alignment vertical="bottom"/>
    </xf>
    <xf numFmtId="1" fontId="0" borderId="7" applyNumberFormat="1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1" fontId="0" borderId="5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" fontId="0" borderId="2" applyNumberFormat="1" applyFont="1" applyFill="0" applyBorder="1" applyAlignment="1" applyProtection="0">
      <alignment vertical="bottom"/>
    </xf>
    <xf numFmtId="49" fontId="3" borderId="3" applyNumberFormat="1" applyFont="1" applyFill="0" applyBorder="1" applyAlignment="1" applyProtection="0">
      <alignment vertical="bottom"/>
    </xf>
    <xf numFmtId="1" fontId="3" borderId="5" applyNumberFormat="1" applyFont="1" applyFill="0" applyBorder="1" applyAlignment="1" applyProtection="0">
      <alignment vertical="bottom"/>
    </xf>
    <xf numFmtId="49" fontId="3" borderId="6" applyNumberFormat="1" applyFont="1" applyFill="0" applyBorder="1" applyAlignment="1" applyProtection="0">
      <alignment vertical="bottom"/>
    </xf>
    <xf numFmtId="1" fontId="3" borderId="7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11" defaultRowHeight="15.75" customHeight="1" outlineLevelRow="0" outlineLevelCol="0"/>
  <cols>
    <col min="1" max="1" width="35" style="1" customWidth="1"/>
    <col min="2" max="2" width="11.6719" style="1" customWidth="1"/>
    <col min="3" max="5" width="11" style="1" customWidth="1"/>
    <col min="6" max="16384" width="11" style="1" customWidth="1"/>
  </cols>
  <sheetData>
    <row r="1" ht="15.85" customHeight="1">
      <c r="A1" t="s" s="2">
        <v>0</v>
      </c>
      <c r="B1" s="3"/>
      <c r="C1" s="4"/>
      <c r="D1" s="5"/>
      <c r="E1" s="5"/>
    </row>
    <row r="2" ht="15.35" customHeight="1">
      <c r="A2" t="s" s="6">
        <v>1</v>
      </c>
      <c r="B2" s="7">
        <v>35127</v>
      </c>
      <c r="C2" s="4"/>
      <c r="D2" s="5"/>
      <c r="E2" s="5"/>
    </row>
    <row r="3" ht="15.35" customHeight="1">
      <c r="A3" t="s" s="6">
        <v>2</v>
      </c>
      <c r="B3" s="7">
        <v>0</v>
      </c>
      <c r="C3" s="4"/>
      <c r="D3" s="5"/>
      <c r="E3" s="5"/>
    </row>
    <row r="4" ht="15.35" customHeight="1">
      <c r="A4" t="s" s="6">
        <v>3</v>
      </c>
      <c r="B4" s="7">
        <v>42725</v>
      </c>
      <c r="C4" s="4"/>
      <c r="D4" s="5"/>
      <c r="E4" s="5"/>
    </row>
    <row r="5" ht="16.5" customHeight="1">
      <c r="A5" t="s" s="8">
        <v>4</v>
      </c>
      <c r="B5" s="9">
        <f>B4-B3-B2</f>
        <v>7598</v>
      </c>
      <c r="C5" s="4"/>
      <c r="D5" s="5"/>
      <c r="E5" s="5"/>
    </row>
    <row r="6" ht="16.5" customHeight="1">
      <c r="A6" s="10"/>
      <c r="B6" s="10"/>
      <c r="C6" s="5"/>
      <c r="D6" s="5"/>
      <c r="E6" s="5"/>
    </row>
    <row r="7" ht="15.85" customHeight="1">
      <c r="A7" t="s" s="2">
        <v>5</v>
      </c>
      <c r="B7" s="3"/>
      <c r="C7" s="4"/>
      <c r="D7" s="5"/>
      <c r="E7" s="5"/>
    </row>
    <row r="8" ht="15.35" customHeight="1">
      <c r="A8" t="s" s="6">
        <v>6</v>
      </c>
      <c r="B8" s="7">
        <v>0</v>
      </c>
      <c r="C8" s="4"/>
      <c r="D8" s="5"/>
      <c r="E8" s="5"/>
    </row>
    <row r="9" ht="15.35" customHeight="1">
      <c r="A9" t="s" s="6">
        <v>7</v>
      </c>
      <c r="B9" s="7">
        <v>0</v>
      </c>
      <c r="C9" s="4"/>
      <c r="D9" s="5"/>
      <c r="E9" s="5"/>
    </row>
    <row r="10" ht="16.5" customHeight="1">
      <c r="A10" t="s" s="8">
        <v>8</v>
      </c>
      <c r="B10" s="9">
        <v>0</v>
      </c>
      <c r="C10" s="4"/>
      <c r="D10" s="5"/>
      <c r="E10" s="5"/>
    </row>
    <row r="11" ht="16.5" customHeight="1">
      <c r="A11" s="10"/>
      <c r="B11" s="10"/>
      <c r="C11" s="5"/>
      <c r="D11" s="5"/>
      <c r="E11" s="5"/>
    </row>
    <row r="12" ht="15.85" customHeight="1">
      <c r="A12" t="s" s="2">
        <v>9</v>
      </c>
      <c r="B12" s="3"/>
      <c r="C12" s="4"/>
      <c r="D12" s="5"/>
      <c r="E12" s="5"/>
    </row>
    <row r="13" ht="16.5" customHeight="1">
      <c r="A13" t="s" s="8">
        <v>10</v>
      </c>
      <c r="B13" s="9">
        <v>0</v>
      </c>
      <c r="C13" s="4"/>
      <c r="D13" s="5"/>
      <c r="E13" s="5"/>
    </row>
    <row r="14" ht="16.5" customHeight="1">
      <c r="A14" s="10"/>
      <c r="B14" s="10"/>
      <c r="C14" s="5"/>
      <c r="D14" s="5"/>
      <c r="E14" s="5"/>
    </row>
    <row r="15" ht="15.85" customHeight="1">
      <c r="A15" t="s" s="2">
        <v>11</v>
      </c>
      <c r="B15" s="3"/>
      <c r="C15" s="4"/>
      <c r="D15" s="5"/>
      <c r="E15" s="5"/>
    </row>
    <row r="16" ht="15.35" customHeight="1">
      <c r="A16" t="s" s="6">
        <v>1</v>
      </c>
      <c r="B16" s="7">
        <v>0</v>
      </c>
      <c r="C16" s="4"/>
      <c r="D16" s="5"/>
      <c r="E16" s="5"/>
    </row>
    <row r="17" ht="15.35" customHeight="1">
      <c r="A17" t="s" s="6">
        <v>12</v>
      </c>
      <c r="B17" s="11">
        <v>0</v>
      </c>
      <c r="C17" s="4"/>
      <c r="D17" s="5"/>
      <c r="E17" s="5"/>
    </row>
    <row r="18" ht="16.5" customHeight="1">
      <c r="A18" t="s" s="8">
        <v>13</v>
      </c>
      <c r="B18" s="12">
        <f>B16*B17</f>
        <v>0</v>
      </c>
      <c r="C18" s="4"/>
      <c r="D18" s="5"/>
      <c r="E18" s="5"/>
    </row>
    <row r="19" ht="15.85" customHeight="1">
      <c r="A19" s="13"/>
      <c r="B19" s="13"/>
      <c r="C19" s="5"/>
      <c r="D19" s="5"/>
      <c r="E19" s="5"/>
    </row>
    <row r="20" ht="16.5" customHeight="1">
      <c r="A20" s="14"/>
      <c r="B20" s="14"/>
      <c r="C20" s="5"/>
      <c r="D20" s="5"/>
      <c r="E20" s="5"/>
    </row>
    <row r="21" ht="15.85" customHeight="1">
      <c r="A21" t="s" s="2">
        <v>14</v>
      </c>
      <c r="B21" s="3"/>
      <c r="C21" s="4"/>
      <c r="D21" s="5"/>
      <c r="E21" s="5"/>
    </row>
    <row r="22" ht="15.35" customHeight="1">
      <c r="A22" t="s" s="6">
        <v>15</v>
      </c>
      <c r="B22" s="15">
        <f>B5-B8-B9-B10+B13+B18</f>
        <v>7598</v>
      </c>
      <c r="C22" s="4"/>
      <c r="D22" s="5"/>
      <c r="E22" s="5"/>
    </row>
    <row r="23" ht="15.35" customHeight="1">
      <c r="A23" t="s" s="6">
        <v>16</v>
      </c>
      <c r="B23" s="11">
        <v>0.17</v>
      </c>
      <c r="C23" s="4"/>
      <c r="D23" s="5"/>
      <c r="E23" s="5"/>
    </row>
    <row r="24" ht="16.5" customHeight="1">
      <c r="A24" t="s" s="8">
        <v>17</v>
      </c>
      <c r="B24" s="9">
        <v>400</v>
      </c>
      <c r="C24" s="4"/>
      <c r="D24" s="5"/>
      <c r="E24" s="5"/>
    </row>
    <row r="25" ht="15.85" customHeight="1">
      <c r="A25" s="13"/>
      <c r="B25" s="13"/>
      <c r="C25" s="5"/>
      <c r="D25" s="5"/>
      <c r="E25" s="5"/>
    </row>
    <row r="26" ht="16.5" customHeight="1">
      <c r="A26" s="14"/>
      <c r="B26" s="14"/>
      <c r="C26" s="5"/>
      <c r="D26" s="5"/>
      <c r="E26" s="5"/>
    </row>
    <row r="27" ht="15.85" customHeight="1">
      <c r="A27" t="s" s="16">
        <v>18</v>
      </c>
      <c r="B27" s="17">
        <f>B22*B23</f>
        <v>1291.66</v>
      </c>
      <c r="C27" s="4"/>
      <c r="D27" s="5"/>
      <c r="E27" s="5"/>
    </row>
    <row r="28" ht="15.35" customHeight="1">
      <c r="A28" t="s" s="18">
        <v>19</v>
      </c>
      <c r="B28" s="19">
        <f>B27+B24</f>
        <v>1691.66</v>
      </c>
      <c r="C28" s="4"/>
      <c r="D28" s="5"/>
      <c r="E28" s="5"/>
    </row>
    <row r="29" ht="15.35" customHeight="1">
      <c r="A29" t="s" s="6">
        <v>20</v>
      </c>
      <c r="B29" s="15">
        <f>B24*B25</f>
        <v>0</v>
      </c>
      <c r="C29" s="4"/>
      <c r="D29" s="5"/>
      <c r="E29" s="5"/>
    </row>
    <row r="30" ht="16.5" customHeight="1">
      <c r="A30" t="s" s="20">
        <v>21</v>
      </c>
      <c r="B30" s="21">
        <f>B28-B29</f>
        <v>1691.66</v>
      </c>
      <c r="C30" s="4"/>
      <c r="D30" s="5"/>
      <c r="E30" s="5"/>
    </row>
  </sheetData>
  <mergeCells count="5">
    <mergeCell ref="A1:B1"/>
    <mergeCell ref="A7:B7"/>
    <mergeCell ref="A12:B12"/>
    <mergeCell ref="A15:B15"/>
    <mergeCell ref="A21:B2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