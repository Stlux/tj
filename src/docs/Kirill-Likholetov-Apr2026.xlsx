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60" windowHeight="11640"/>
  </bookViews>
  <sheets>
    <sheet name="April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<sst xmlns="http://schemas.openxmlformats.org/spreadsheetml/2006/main" count="24" uniqueCount="23">
  <si>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April 2026. Kirill Likholetov</t>
  </si>
  <si>
    <t>Spend, $</t>
  </si>
  <si>
    <t>Расходники, $</t>
  </si>
  <si>
    <t>Приходы (трекер), $</t>
  </si>
  <si>
    <t>Маржа по админке, $</t>
  </si>
  <si>
    <t>Вычеты</t>
  </si>
  <si>
    <t>Чарджбеки и отмены, $</t>
  </si>
  <si>
    <t>Extendy hold / срез*, $</t>
  </si>
  <si>
    <t>Другие окончательные срезы, $</t>
  </si>
  <si>
    <t>Доплаты</t>
  </si>
  <si>
    <t>Доплаты за гарант, $</t>
  </si>
  <si>
    <t>Spend модель</t>
  </si>
  <si>
    <t>Начисленная комиссия, %</t>
  </si>
  <si>
    <t>Начисленная комиссия, $</t>
  </si>
  <si>
    <t>Профит</t>
  </si>
  <si>
    <t>Профит, $</t>
  </si>
  <si>
    <t>Процент по лесенке, %</t>
  </si>
  <si>
    <t>Оклад, $</t>
  </si>
  <si>
    <t xml:space="preserve"> </t>
  </si>
  <si>
    <t>Процент к выплате, $</t>
  </si>
  <si>
    <t>Итого к выплате за месяц, $</t>
  </si>
  <si>
    <t>Было выплачено ранее, $</t>
  </si>
  <si>
    <t>Итого к переводу, $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</si>
</sst>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0" applyNumberFormat="0" applyAlignment="0" applyProtection="0">
      <alignment vertical="center"/>
    </xf>
    <xf numFmtId="0" fontId="12" fillId="4" borderId="11" applyNumberFormat="0" applyAlignment="0" applyProtection="0">
      <alignment vertical="center"/>
    </xf>
    <xf numFmtId="0" fontId="13" fillId="4" borderId="10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4" xfId="0" applyNumberFormat="1" applyBorder="1"/>
    <xf numFmtId="1" fontId="0" fillId="0" borderId="6" xfId="0" applyNumberFormat="1" applyBorder="1"/>
    <xf numFmtId="1" fontId="0" fillId="0" borderId="4" xfId="0" applyNumberFormat="1" applyBorder="1"/>
    <xf numFmtId="0" fontId="0" fillId="0" borderId="1" xfId="0" applyBorder="1"/>
    <xf numFmtId="1" fontId="0" fillId="0" borderId="2" xfId="0" applyNumberFormat="1" applyBorder="1"/>
    <xf numFmtId="0" fontId="1" fillId="0" borderId="3" xfId="0" applyFont="1" applyBorder="1"/>
    <xf numFmtId="1" fontId="1" fillId="0" borderId="4" xfId="0" applyNumberFormat="1" applyFont="1" applyBorder="1"/>
    <xf numFmtId="0" fontId="1" fillId="0" borderId="5" xfId="0" applyFont="1" applyBorder="1"/>
    <xf numFmtId="1" fontId="1" fillId="0" borderId="6" xfId="0" applyNumberFormat="1" applyFont="1" applyBorder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D24" sqref="D24"/>
    </sheetView>
  </sheetViews>
  <sheetFormatPr defaultColWidth="11" defaultRowHeight="15.75" outlineLevelCol="3"/>
  <cols>
    <col min="1" max="1" width="35" customWidth="1"/>
    <col min="2" max="2" width="11.6666666666667" customWidth="1"/>
  </cols>
  <sheetData>
    <row r="1" spans="1:2">
      <c r="A1" s="1" t="s">
        <v>0</v>
      </c>
      <c r="B1" s="2"/>
    </row>
    <row r="2" spans="1:2">
      <c r="A2" s="3" t="s">
        <v>1</v>
      </c>
      <c r="B2" s="4">
        <v>48687</v>
      </c>
    </row>
    <row r="3" spans="1:2">
      <c r="A3" s="3" t="s">
        <v>2</v>
      </c>
      <c r="B3" s="4">
        <v>0</v>
      </c>
    </row>
    <row r="4" spans="1:2">
      <c r="A4" s="3" t="s">
        <v>3</v>
      </c>
      <c r="B4" s="4">
        <v>56534</v>
      </c>
    </row>
    <row r="5" ht="16.5" spans="1:2">
      <c r="A5" s="5" t="s">
        <v>4</v>
      </c>
      <c r="B5" s="6">
        <f>B4-B3-B2</f>
        <v>7847</v>
      </c>
    </row>
    <row r="6" ht="16.5"/>
    <row r="7" spans="1:2">
      <c r="A7" s="1" t="s">
        <v>5</v>
      </c>
      <c r="B7" s="2"/>
    </row>
    <row r="8" spans="1:2">
      <c r="A8" s="3" t="s">
        <v>6</v>
      </c>
      <c r="B8" s="4">
        <v>467</v>
      </c>
    </row>
    <row r="9" spans="1:2">
      <c r="A9" s="3" t="s">
        <v>7</v>
      </c>
      <c r="B9" s="4">
        <v>229</v>
      </c>
    </row>
    <row r="10" ht="16.5" spans="1:2">
      <c r="A10" s="5" t="s">
        <v>8</v>
      </c>
      <c r="B10" s="6">
        <v>0</v>
      </c>
    </row>
    <row r="11" ht="16.5"/>
    <row r="12" spans="1:2">
      <c r="A12" s="1" t="s">
        <v>9</v>
      </c>
      <c r="B12" s="2"/>
    </row>
    <row r="13" ht="16.5" spans="1:2">
      <c r="A13" s="5" t="s">
        <v>10</v>
      </c>
      <c r="B13" s="6">
        <v>0</v>
      </c>
    </row>
    <row r="14" ht="16.5"/>
    <row r="15" spans="1:2">
      <c r="A15" s="1" t="s">
        <v>11</v>
      </c>
      <c r="B15" s="2"/>
    </row>
    <row r="16" spans="1:2">
      <c r="A16" s="3" t="s">
        <v>1</v>
      </c>
      <c r="B16" s="4">
        <v>0</v>
      </c>
    </row>
    <row r="17" spans="1:4">
      <c r="A17" s="3" t="s">
        <v>12</v>
      </c>
      <c r="B17" s="7">
        <v>0</v>
      </c>
    </row>
    <row r="18" ht="16.5" spans="1:4">
      <c r="A18" s="5" t="s">
        <v>13</v>
      </c>
      <c r="B18" s="8">
        <f>B16*B17</f>
        <v>0</v>
      </c>
    </row>
    <row r="20" ht="16.5"/>
    <row r="21" spans="1:4">
      <c r="A21" s="1" t="s">
        <v>14</v>
      </c>
      <c r="B21" s="2"/>
    </row>
    <row r="22" spans="1:4">
      <c r="A22" s="3" t="s">
        <v>15</v>
      </c>
      <c r="B22" s="9">
        <f>B5-B8-B9-B10+B13+B18</f>
        <v>7151</v>
      </c>
    </row>
    <row r="23" spans="1:4">
      <c r="A23" s="3" t="s">
        <v>16</v>
      </c>
      <c r="B23" s="7">
        <v>0.17</v>
      </c>
    </row>
    <row r="24" ht="16.5" spans="1:4">
      <c r="A24" s="5" t="s">
        <v>17</v>
      </c>
      <c r="B24" s="6">
        <v>400</v>
      </c>
      <c r="D24" t="s">
        <v>18</v>
      </c>
    </row>
    <row r="26" ht="16.5"/>
    <row r="27" spans="1:4">
      <c r="A27" s="10" t="s">
        <v>19</v>
      </c>
      <c r="B27" s="11">
        <f>B22*B23</f>
        <v>1215.67</v>
      </c>
    </row>
    <row r="28" spans="1:4">
      <c r="A28" s="12" t="s">
        <v>20</v>
      </c>
      <c r="B28" s="13">
        <f>B27+B24</f>
        <v>1615.67</v>
      </c>
    </row>
    <row r="29" spans="1:4">
      <c r="A29" s="3" t="s">
        <v>21</v>
      </c>
      <c r="B29" s="9">
        <f>B24*B25</f>
        <v>0</v>
      </c>
    </row>
    <row r="30" ht="16.5" spans="1:4">
      <c r="A30" s="14" t="s">
        <v>22</v>
      </c>
      <c r="B30" s="15">
        <f>B28-B29</f>
        <v>1615.67</v>
      </c>
    </row>
  </sheetData>
  <mergeCells count="5">
    <mergeCell ref="A1:B1"/>
    <mergeCell ref="A7:B7"/>
    <mergeCell ref="A12:B12"/>
    <mergeCell ref="A15:B15"/>
    <mergeCell ref="A21:B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April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beaxh</cp:lastModifiedBy>
  <dcterms:created xsi:type="dcterms:W3CDTF">2025-04-05T12:33:00Z</dcterms:created>
  <dcterms:modified xsi:type="dcterms:W3CDTF">2026-05-14T16:05:00Z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33016448B0A149C8983DB4F5B1206181_12</vt:lpwstr>
  </property>
  <property fmtid="{D5CDD505-2E9C-101B-9397-08002B2CF9AE}" pid="3" name="KSOProductBuildVer">
    <vt:lpwstr>1049-12.1.0.26372</vt:lpwstr>
  </property>
  <property fmtid="{D5CDD505-2E9C-101B-9397-08002B2CF9AE}" pid="4" name="CalculationRule">
    <vt:i4>0</vt:i4>
  </property>
</Properties>
</file>